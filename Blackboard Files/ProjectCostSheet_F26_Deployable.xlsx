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ailsc-my.sharepoint.com/personal/andrewgross_sc_edu/Documents/EMCH-308_F26/F26/"/>
    </mc:Choice>
  </mc:AlternateContent>
  <xr:revisionPtr revIDLastSave="20" documentId="8_{CCE58E34-CACC-4BCD-8047-1E9D74C72C72}" xr6:coauthVersionLast="47" xr6:coauthVersionMax="47" xr10:uidLastSave="{2FF949DF-A731-423F-A745-2EFC3EBAE35D}"/>
  <bookViews>
    <workbookView xWindow="-108" yWindow="-108" windowWidth="23256" windowHeight="12456" xr2:uid="{A41A8073-43DF-4301-9269-BA4F26E5FA52}"/>
  </bookViews>
  <sheets>
    <sheet name="Machining Cost" sheetId="1" r:id="rId1"/>
    <sheet name="Stock Inf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B6" i="1"/>
  <c r="B5" i="1" a="1"/>
  <c r="B5" i="1" s="1"/>
  <c r="B4" i="1"/>
  <c r="D10" i="2"/>
  <c r="C10" i="2"/>
  <c r="B8" i="2"/>
  <c r="D8" i="2"/>
  <c r="C8" i="2"/>
  <c r="B10" i="2" l="1"/>
  <c r="C16" i="1"/>
  <c r="C22" i="1" s="1"/>
  <c r="G16" i="1"/>
  <c r="F16" i="1"/>
  <c r="F22" i="1" s="1"/>
  <c r="E16" i="1"/>
  <c r="E22" i="1" s="1"/>
  <c r="D16" i="1"/>
  <c r="D22" i="1" s="1"/>
  <c r="C14" i="1"/>
  <c r="G14" i="1"/>
  <c r="E14" i="1"/>
  <c r="F14" i="1"/>
  <c r="G22" i="1" l="1"/>
  <c r="B8" i="1"/>
  <c r="B24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<sst xmlns="http://schemas.openxmlformats.org/spreadsheetml/2006/main" count="38" uniqueCount="32">
  <si>
    <t>I-Beam Structure Analysis Project Cost</t>
  </si>
  <si>
    <t>Set Up Time</t>
  </si>
  <si>
    <t>Work Center Cost Including Overhead</t>
  </si>
  <si>
    <t>Machine Time Cost</t>
  </si>
  <si>
    <t>Material Cost Per Pc.</t>
  </si>
  <si>
    <t>(2 x Labor + Material + Overhead)</t>
  </si>
  <si>
    <t>Cycle Time Per Feature</t>
  </si>
  <si>
    <t>Qty Features</t>
  </si>
  <si>
    <t>Tolerance (+/- inches)</t>
  </si>
  <si>
    <t>Saw Cut</t>
  </si>
  <si>
    <t>Saw Cut Miter</t>
  </si>
  <si>
    <t>Drill</t>
  </si>
  <si>
    <t>Face Ends</t>
  </si>
  <si>
    <t>Mill</t>
  </si>
  <si>
    <t>Work Center Cost + Overhead + Machine Time</t>
  </si>
  <si>
    <t>Per cut</t>
  </si>
  <si>
    <t>Per hole</t>
  </si>
  <si>
    <t>Per end</t>
  </si>
  <si>
    <t>Cycle Time Basis</t>
  </si>
  <si>
    <t>Qty Parts</t>
  </si>
  <si>
    <t>Stock 1</t>
  </si>
  <si>
    <t>Stock 2</t>
  </si>
  <si>
    <t>Stock 3</t>
  </si>
  <si>
    <t>Height (in)</t>
  </si>
  <si>
    <t>Flange Width (in)</t>
  </si>
  <si>
    <t>Flange Thickness (in)</t>
  </si>
  <si>
    <t>Web Thickness (in)</t>
  </si>
  <si>
    <t>Material Cost (per lb.)</t>
  </si>
  <si>
    <t>Raw Material Length (in)</t>
  </si>
  <si>
    <t>Weight (lb./in)</t>
  </si>
  <si>
    <t>Stock Selection</t>
  </si>
  <si>
    <t>Per inch of tool path  
with 0.05" removed for each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</si>
</sst>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6">
    <xf numFmtId="0" fontId="0" fillId="0" borderId="0" xfId="0"/>
    <xf numFmtId="0" fontId="0" fillId="2" borderId="6" xfId="0" applyFill="1" applyBorder="1"/>
    <xf numFmtId="0" fontId="0" fillId="2" borderId="7" xfId="0" applyFill="1" applyBorder="1"/>
    <xf numFmtId="0" fontId="2" fillId="4" borderId="11" xfId="0" applyFont="1" applyFill="1" applyBorder="1"/>
    <xf numFmtId="0" fontId="0" fillId="6" borderId="16" xfId="0" applyFill="1" applyBorder="1"/>
    <xf numFmtId="164" fontId="0" fillId="6" borderId="16" xfId="0" applyNumberFormat="1" applyFill="1" applyBorder="1"/>
    <xf numFmtId="0" fontId="0" fillId="5" borderId="16" xfId="0" applyFill="1" applyBorder="1" applyAlignment="1" applyProtection="1">
      <alignment horizontal="center" vertical="center"/>
      <protection locked="0"/>
    </xf>
    <xf numFmtId="0" fontId="0" fillId="5" borderId="19" xfId="0" applyFill="1" applyBorder="1" applyAlignment="1" applyProtection="1">
      <alignment horizontal="center" vertical="center"/>
      <protection locked="0"/>
    </xf>
    <xf numFmtId="0" fontId="0" fillId="2" borderId="0" xfId="0" applyFill="1"/>
    <xf numFmtId="0" fontId="0" fillId="6" borderId="19" xfId="0" applyFill="1" applyBorder="1"/>
    <xf numFmtId="164" fontId="0" fillId="6" borderId="19" xfId="0" applyNumberFormat="1" applyFill="1" applyBorder="1"/>
    <xf numFmtId="0" fontId="2" fillId="4" borderId="22" xfId="0" applyFont="1" applyFill="1" applyBorder="1"/>
    <xf numFmtId="164" fontId="0" fillId="6" borderId="23" xfId="0" applyNumberFormat="1" applyFill="1" applyBorder="1"/>
    <xf numFmtId="0" fontId="0" fillId="2" borderId="20" xfId="0" applyFill="1" applyBorder="1"/>
    <xf numFmtId="0" fontId="4" fillId="4" borderId="18" xfId="1" applyFont="1" applyFill="1" applyBorder="1"/>
    <xf numFmtId="0" fontId="4" fillId="4" borderId="21" xfId="1" applyFont="1" applyFill="1" applyBorder="1"/>
    <xf numFmtId="0" fontId="1" fillId="3" borderId="0" xfId="0" applyFont="1" applyFill="1" applyProtection="1"/>
    <xf numFmtId="0" fontId="0" fillId="0" borderId="0" xfId="0" applyProtection="1"/>
    <xf numFmtId="0" fontId="2" fillId="4" borderId="17" xfId="0" applyFont="1" applyFill="1" applyBorder="1" applyProtection="1"/>
    <xf numFmtId="0" fontId="0" fillId="2" borderId="4" xfId="0" applyFill="1" applyBorder="1" applyProtection="1"/>
    <xf numFmtId="0" fontId="0" fillId="2" borderId="5" xfId="0" applyFill="1" applyBorder="1" applyProtection="1"/>
    <xf numFmtId="0" fontId="2" fillId="4" borderId="11" xfId="0" applyFont="1" applyFill="1" applyBorder="1" applyProtection="1"/>
    <xf numFmtId="164" fontId="0" fillId="6" borderId="16" xfId="0" applyNumberFormat="1" applyFill="1" applyBorder="1" applyProtection="1"/>
    <xf numFmtId="0" fontId="0" fillId="2" borderId="0" xfId="0" applyFill="1" applyProtection="1"/>
    <xf numFmtId="0" fontId="0" fillId="2" borderId="7" xfId="0" applyFill="1" applyBorder="1" applyProtection="1"/>
    <xf numFmtId="0" fontId="0" fillId="6" borderId="16" xfId="0" applyFill="1" applyBorder="1" applyProtection="1"/>
    <xf numFmtId="0" fontId="0" fillId="2" borderId="6" xfId="0" applyFill="1" applyBorder="1" applyProtection="1"/>
    <xf numFmtId="0" fontId="0" fillId="2" borderId="1" xfId="0" applyFill="1" applyBorder="1" applyProtection="1"/>
    <xf numFmtId="0" fontId="2" fillId="4" borderId="13" xfId="0" applyFont="1" applyFill="1" applyBorder="1" applyProtection="1"/>
    <xf numFmtId="0" fontId="0" fillId="2" borderId="2" xfId="0" applyFill="1" applyBorder="1" applyProtection="1"/>
    <xf numFmtId="0" fontId="1" fillId="4" borderId="16" xfId="0" applyFont="1" applyFill="1" applyBorder="1" applyAlignment="1" applyProtection="1">
      <alignment horizontal="center"/>
    </xf>
    <xf numFmtId="0" fontId="1" fillId="4" borderId="19" xfId="0" applyFont="1" applyFill="1" applyBorder="1" applyAlignment="1" applyProtection="1">
      <alignment horizontal="center"/>
    </xf>
    <xf numFmtId="0" fontId="2" fillId="4" borderId="14" xfId="0" applyFont="1" applyFill="1" applyBorder="1" applyProtection="1"/>
    <xf numFmtId="0" fontId="0" fillId="6" borderId="16" xfId="0" applyFill="1" applyBorder="1" applyAlignment="1" applyProtection="1">
      <alignment horizontal="center"/>
    </xf>
    <xf numFmtId="0" fontId="0" fillId="6" borderId="19" xfId="0" applyFill="1" applyBorder="1" applyAlignment="1" applyProtection="1">
      <alignment horizontal="center"/>
    </xf>
    <xf numFmtId="0" fontId="2" fillId="4" borderId="15" xfId="0" applyFont="1" applyFill="1" applyBorder="1" applyProtection="1"/>
    <xf numFmtId="0" fontId="0" fillId="2" borderId="3" xfId="0" applyFill="1" applyBorder="1" applyProtection="1"/>
    <xf numFmtId="164" fontId="0" fillId="6" borderId="16" xfId="0" applyNumberFormat="1" applyFill="1" applyBorder="1" applyAlignment="1" applyProtection="1">
      <alignment horizontal="center"/>
    </xf>
    <xf numFmtId="164" fontId="0" fillId="6" borderId="19" xfId="0" applyNumberFormat="1" applyFill="1" applyBorder="1" applyAlignment="1" applyProtection="1">
      <alignment horizontal="center"/>
    </xf>
    <xf numFmtId="0" fontId="0" fillId="2" borderId="14" xfId="0" applyFill="1" applyBorder="1" applyProtection="1"/>
    <xf numFmtId="0" fontId="0" fillId="2" borderId="0" xfId="0" applyFill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2" fillId="4" borderId="16" xfId="0" applyFont="1" applyFill="1" applyBorder="1" applyProtection="1"/>
    <xf numFmtId="0" fontId="0" fillId="2" borderId="12" xfId="0" applyFill="1" applyBorder="1" applyProtection="1"/>
    <xf numFmtId="0" fontId="0" fillId="2" borderId="16" xfId="0" applyFill="1" applyBorder="1" applyAlignment="1" applyProtection="1">
      <alignment horizontal="center"/>
    </xf>
    <xf numFmtId="0" fontId="0" fillId="2" borderId="19" xfId="0" applyFill="1" applyBorder="1" applyAlignment="1" applyProtection="1">
      <alignment horizontal="center"/>
    </xf>
    <xf numFmtId="0" fontId="0" fillId="6" borderId="19" xfId="0" applyFill="1" applyBorder="1" applyAlignment="1" applyProtection="1">
      <alignment horizontal="center" wrapText="1"/>
    </xf>
    <xf numFmtId="0" fontId="0" fillId="2" borderId="16" xfId="0" applyFill="1" applyBorder="1" applyAlignment="1" applyProtection="1">
      <alignment horizontal="center" vertical="center"/>
    </xf>
    <xf numFmtId="0" fontId="0" fillId="2" borderId="19" xfId="0" applyFill="1" applyBorder="1" applyAlignment="1" applyProtection="1">
      <alignment horizontal="center" vertical="center"/>
    </xf>
    <xf numFmtId="0" fontId="0" fillId="6" borderId="16" xfId="0" applyFill="1" applyBorder="1" applyAlignment="1" applyProtection="1">
      <alignment horizontal="center" vertical="center"/>
    </xf>
    <xf numFmtId="0" fontId="0" fillId="6" borderId="19" xfId="0" applyFill="1" applyBorder="1" applyAlignment="1" applyProtection="1">
      <alignment horizontal="center" vertical="center"/>
    </xf>
    <xf numFmtId="0" fontId="1" fillId="3" borderId="8" xfId="0" applyFont="1" applyFill="1" applyBorder="1" applyProtection="1"/>
    <xf numFmtId="164" fontId="1" fillId="3" borderId="9" xfId="0" applyNumberFormat="1" applyFont="1" applyFill="1" applyBorder="1" applyProtection="1"/>
    <xf numFmtId="164" fontId="0" fillId="2" borderId="9" xfId="0" applyNumberFormat="1" applyFill="1" applyBorder="1" applyProtection="1"/>
    <xf numFmtId="164" fontId="0" fillId="2" borderId="10" xfId="0" applyNumberFormat="1" applyFill="1" applyBorder="1" applyProtection="1"/>
    <xf numFmtId="0" fontId="0" fillId="5" borderId="18" xfId="0" applyFill="1" applyBorder="1" applyProtection="1"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410305</xdr:colOff>
      <xdr:row>2</xdr:row>
      <xdr:rowOff>41289</xdr:rowOff>
    </xdr:from>
    <xdr:to>
      <xdr:col>5</xdr:col>
      <xdr:colOff>904142</xdr:colOff>
      <xdr:row>8</xdr:row>
      <xdr:rowOff>146078</xdr:rowOff>
    </xdr:to>
    <xdr:pic>
      <xdr:nvPicPr>
        <xdr:cNvPr id="2" name="Picture 1" descr="aluminum-i-beam-6061-t6-aluminum-association-main">
          <a:extLst>
            <a:ext uri="{FF2B5EF4-FFF2-40B4-BE49-F238E27FC236}">
              <a16:creationId xmlns:a16="http://schemas.microsoft.com/office/drawing/2014/main" id="{15FEEAE2-6264-F807-8424-5CFE1C5F1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8631" y="414318"/>
          <a:ext cx="1201637" cy="11951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1208513</xdr:colOff>
      <xdr:row>2</xdr:row>
      <xdr:rowOff>42134</xdr:rowOff>
    </xdr:from>
    <xdr:to>
      <xdr:col>6</xdr:col>
      <xdr:colOff>2382147</xdr:colOff>
      <xdr:row>8</xdr:row>
      <xdr:rowOff>146923</xdr:rowOff>
    </xdr:to>
    <xdr:pic>
      <xdr:nvPicPr>
        <xdr:cNvPr id="3" name="Picture 2" descr="ibeam-standard-large-new-min-4-main">
          <a:extLst>
            <a:ext uri="{FF2B5EF4-FFF2-40B4-BE49-F238E27FC236}">
              <a16:creationId xmlns:a16="http://schemas.microsoft.com/office/drawing/2014/main" id="{3621A7D7-F70D-0D17-528A-86C48A3F0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33726" y="415163"/>
          <a:ext cx="1202209" cy="11951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956922</xdr:colOff>
      <xdr:row>2</xdr:row>
      <xdr:rowOff>43793</xdr:rowOff>
    </xdr:from>
    <xdr:to>
      <xdr:col>6</xdr:col>
      <xdr:colOff>1157746</xdr:colOff>
      <xdr:row>8</xdr:row>
      <xdr:rowOff>149203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685084A-A757-7C67-E247-CEFFC5054B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63048" y="416822"/>
          <a:ext cx="1319911" cy="1195804"/>
        </a:xfrm>
        <a:prstGeom prst="rect">
          <a:avLst/>
        </a:prstGeom>
      </xdr:spPr>
    </xdr:pic>
    <xdr:clientData/>
  </xdr:twoCellAnchor>
  <xdr:oneCellAnchor>
    <xdr:from>
      <xdr:col>4</xdr:col>
      <xdr:colOff>701040</xdr:colOff>
      <xdr:row>7</xdr:row>
      <xdr:rowOff>121920</xdr:rowOff>
    </xdr:from>
    <xdr:ext cx="59824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214EDC-86B7-9934-4D15-2F9D7DB6D8E6}"/>
            </a:ext>
          </a:extLst>
        </xdr:cNvPr>
        <xdr:cNvSpPr txBox="1"/>
      </xdr:nvSpPr>
      <xdr:spPr>
        <a:xfrm>
          <a:off x="6598920" y="1417320"/>
          <a:ext cx="59824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Stock 1</a:t>
          </a:r>
        </a:p>
      </xdr:txBody>
    </xdr:sp>
    <xdr:clientData/>
  </xdr:oneCellAnchor>
  <xdr:oneCellAnchor>
    <xdr:from>
      <xdr:col>5</xdr:col>
      <xdr:colOff>937260</xdr:colOff>
      <xdr:row>7</xdr:row>
      <xdr:rowOff>121920</xdr:rowOff>
    </xdr:from>
    <xdr:ext cx="59824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77B1F6B-477F-A1F0-BCD9-698F172B2E95}"/>
            </a:ext>
          </a:extLst>
        </xdr:cNvPr>
        <xdr:cNvSpPr txBox="1"/>
      </xdr:nvSpPr>
      <xdr:spPr>
        <a:xfrm>
          <a:off x="7543800" y="1417320"/>
          <a:ext cx="59824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Stock 2</a:t>
          </a:r>
        </a:p>
      </xdr:txBody>
    </xdr:sp>
    <xdr:clientData/>
  </xdr:oneCellAnchor>
  <xdr:oneCellAnchor>
    <xdr:from>
      <xdr:col>6</xdr:col>
      <xdr:colOff>1524000</xdr:colOff>
      <xdr:row>7</xdr:row>
      <xdr:rowOff>137160</xdr:rowOff>
    </xdr:from>
    <xdr:ext cx="59824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0D9DE6A-674E-1261-4B7B-D378805012BB}"/>
            </a:ext>
          </a:extLst>
        </xdr:cNvPr>
        <xdr:cNvSpPr txBox="1"/>
      </xdr:nvSpPr>
      <xdr:spPr>
        <a:xfrm>
          <a:off x="9250680" y="1432560"/>
          <a:ext cx="59824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Stock 3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nlinemetals.com/en/buy/aluminum/3-x-2-509-x-0-349-aluminum-i-beam-6061-t6-extruded-american-standard/pid/13217" TargetMode="External"/><Relationship Id="rId2" Type="http://schemas.openxmlformats.org/officeDocument/2006/relationships/hyperlink" Target="https://www.onlinemetals.com/en/buy/aluminum/3-x-2-33-x-0-17-aluminum-i-beam-6061-t6-extruded-american-standard/pid/13216" TargetMode="External"/><Relationship Id="rId1" Type="http://schemas.openxmlformats.org/officeDocument/2006/relationships/hyperlink" Target="https://www.onlinemetals.com/en/buy/aluminum/3-x-2-5-x-0-15-aluminum-i-beam-6061-t6-extruded-aluminum-association/pid/132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C64FC-B531-444E-920D-858EA2B86DE1}">
  <dimension ref="A1:G24"/>
  <sheetViews>
    <sheetView tabSelected="1" zoomScale="85" zoomScaleNormal="85" workbookViewId="0">
      <selection activeCell="B5" sqref="B5"/>
    </sheetView>
  </sheetViews>
  <sheetFormatPr defaultRowHeight="14.4" x14ac:dyDescent="0.3"/>
  <cols>
    <col min="1" max="1" width="44.33203125" bestFit="1" customWidth="1"/>
    <col min="3" max="3" width="13.6640625" bestFit="1" customWidth="1"/>
    <col min="4" max="4" width="19.109375" bestFit="1" customWidth="1"/>
    <col min="5" max="5" width="10.33203125" bestFit="1" customWidth="1"/>
    <col min="6" max="6" width="16.33203125" bestFit="1" customWidth="1"/>
    <col min="7" max="7" width="35.6640625" bestFit="1" customWidth="1"/>
  </cols>
  <sheetData>
    <row r="1" spans="1:7" x14ac:dyDescent="0.3">
      <c r="A1" s="16" t="s">
        <v>0</v>
      </c>
      <c r="B1" s="17"/>
      <c r="C1" s="17"/>
      <c r="D1" s="17"/>
      <c r="E1" s="17"/>
      <c r="F1" s="17"/>
      <c r="G1" s="17"/>
    </row>
    <row r="2" spans="1:7" ht="15" thickBot="1" x14ac:dyDescent="0.35">
      <c r="A2" s="17"/>
      <c r="B2" s="17"/>
      <c r="C2" s="17"/>
      <c r="D2" s="17"/>
      <c r="E2" s="17"/>
      <c r="F2" s="17"/>
      <c r="G2" s="17"/>
    </row>
    <row r="3" spans="1:7" x14ac:dyDescent="0.3">
      <c r="A3" s="18" t="s">
        <v>30</v>
      </c>
      <c r="B3" s="55" t="s">
        <v>22</v>
      </c>
      <c r="C3" s="19"/>
      <c r="D3" s="19"/>
      <c r="E3" s="19"/>
      <c r="F3" s="19"/>
      <c r="G3" s="20"/>
    </row>
    <row r="4" spans="1:7" x14ac:dyDescent="0.3">
      <c r="A4" s="21" t="s">
        <v>27</v>
      </c>
      <c r="B4" s="22">
        <f>_xlfn.XLOOKUP(B3,'Stock Info'!B1:D1,'Stock Info'!B6:D6)</f>
        <v>39.36</v>
      </c>
      <c r="C4" s="23"/>
      <c r="D4" s="23"/>
      <c r="E4" s="23"/>
      <c r="F4" s="23"/>
      <c r="G4" s="24"/>
    </row>
    <row r="5" spans="1:7" x14ac:dyDescent="0.3">
      <c r="A5" s="21" t="s">
        <v>28</v>
      </c>
      <c r="B5" s="25" cm="1">
        <f t="array" ref="B5">_xlfn.XLOOKUP(B3,'Stock Info'!B1:'Stock Info'!B1:D1,'Stock Info'!B7:D7)</f>
        <v>8.4</v>
      </c>
      <c r="C5" s="23"/>
      <c r="D5" s="23"/>
      <c r="E5" s="23"/>
      <c r="F5" s="23"/>
      <c r="G5" s="24"/>
    </row>
    <row r="6" spans="1:7" x14ac:dyDescent="0.3">
      <c r="A6" s="21" t="s">
        <v>29</v>
      </c>
      <c r="B6" s="25">
        <f>_xlfn.XLOOKUP(B3,'Stock Info'!B1:D1,'Stock Info'!B8:D8)</f>
        <v>0.21666666666666667</v>
      </c>
      <c r="C6" s="23"/>
      <c r="D6" s="23"/>
      <c r="E6" s="23"/>
      <c r="F6" s="23"/>
      <c r="G6" s="24"/>
    </row>
    <row r="7" spans="1:7" x14ac:dyDescent="0.3">
      <c r="A7" s="26"/>
      <c r="B7" s="27"/>
      <c r="C7" s="23"/>
      <c r="D7" s="23"/>
      <c r="E7" s="23"/>
      <c r="F7" s="23"/>
      <c r="G7" s="24"/>
    </row>
    <row r="8" spans="1:7" x14ac:dyDescent="0.3">
      <c r="A8" s="21" t="s">
        <v>4</v>
      </c>
      <c r="B8" s="22">
        <f>SUM(B5*B6)*B4</f>
        <v>71.635199999999998</v>
      </c>
      <c r="C8" s="23"/>
      <c r="D8" s="23"/>
      <c r="E8" s="23"/>
      <c r="F8" s="23"/>
      <c r="G8" s="24"/>
    </row>
    <row r="9" spans="1:7" x14ac:dyDescent="0.3">
      <c r="A9" s="26"/>
      <c r="B9" s="23"/>
      <c r="C9" s="23"/>
      <c r="D9" s="23"/>
      <c r="E9" s="23"/>
      <c r="F9" s="23"/>
      <c r="G9" s="24"/>
    </row>
    <row r="10" spans="1:7" x14ac:dyDescent="0.3">
      <c r="A10" s="28" t="s">
        <v>2</v>
      </c>
      <c r="B10" s="29"/>
      <c r="C10" s="30" t="s">
        <v>9</v>
      </c>
      <c r="D10" s="30" t="s">
        <v>10</v>
      </c>
      <c r="E10" s="30" t="s">
        <v>11</v>
      </c>
      <c r="F10" s="30" t="s">
        <v>12</v>
      </c>
      <c r="G10" s="31" t="s">
        <v>13</v>
      </c>
    </row>
    <row r="11" spans="1:7" x14ac:dyDescent="0.3">
      <c r="A11" s="32" t="s">
        <v>8</v>
      </c>
      <c r="B11" s="23"/>
      <c r="C11" s="33">
        <v>0.02</v>
      </c>
      <c r="D11" s="33">
        <v>0.02</v>
      </c>
      <c r="E11" s="33">
        <v>0.02</v>
      </c>
      <c r="F11" s="33">
        <v>5.0000000000000001E-3</v>
      </c>
      <c r="G11" s="34">
        <v>5.0000000000000001E-3</v>
      </c>
    </row>
    <row r="12" spans="1:7" x14ac:dyDescent="0.3">
      <c r="A12" s="35" t="s">
        <v>5</v>
      </c>
      <c r="B12" s="36"/>
      <c r="C12" s="37">
        <v>100</v>
      </c>
      <c r="D12" s="37">
        <v>100</v>
      </c>
      <c r="E12" s="37">
        <v>100</v>
      </c>
      <c r="F12" s="37">
        <v>250</v>
      </c>
      <c r="G12" s="38">
        <v>250</v>
      </c>
    </row>
    <row r="13" spans="1:7" x14ac:dyDescent="0.3">
      <c r="A13" s="39"/>
      <c r="B13" s="23"/>
      <c r="C13" s="40"/>
      <c r="D13" s="40"/>
      <c r="E13" s="40"/>
      <c r="F13" s="40"/>
      <c r="G13" s="41"/>
    </row>
    <row r="14" spans="1:7" x14ac:dyDescent="0.3">
      <c r="A14" s="42" t="s">
        <v>1</v>
      </c>
      <c r="B14" s="43"/>
      <c r="C14" s="33">
        <f>SUM(0.1667/C20)</f>
        <v>0.16669999999999999</v>
      </c>
      <c r="D14" s="33">
        <f>SUM(0.1667/D20)</f>
        <v>0.16669999999999999</v>
      </c>
      <c r="E14" s="33">
        <f>SUM(0.1667/E20)</f>
        <v>0.16669999999999999</v>
      </c>
      <c r="F14" s="33">
        <f>SUM(0.5/F20)</f>
        <v>0.5</v>
      </c>
      <c r="G14" s="34">
        <f>SUM(0.5/G20)</f>
        <v>0.5</v>
      </c>
    </row>
    <row r="15" spans="1:7" x14ac:dyDescent="0.3">
      <c r="A15" s="39"/>
      <c r="B15" s="23"/>
      <c r="C15" s="44"/>
      <c r="D15" s="44"/>
      <c r="E15" s="44"/>
      <c r="F15" s="44"/>
      <c r="G15" s="45"/>
    </row>
    <row r="16" spans="1:7" x14ac:dyDescent="0.3">
      <c r="A16" s="42" t="s">
        <v>6</v>
      </c>
      <c r="B16" s="36"/>
      <c r="C16" s="33">
        <f>SUM(0.0167*C18)</f>
        <v>0</v>
      </c>
      <c r="D16" s="33">
        <f>SUM(0.0501*D18)</f>
        <v>0</v>
      </c>
      <c r="E16" s="33">
        <f>SUM(0.0167*E18)</f>
        <v>0</v>
      </c>
      <c r="F16" s="33">
        <f>SUM(0.04*F18)</f>
        <v>0</v>
      </c>
      <c r="G16" s="34">
        <f>SUM(0.0417*G18)</f>
        <v>0</v>
      </c>
    </row>
    <row r="17" spans="1:7" ht="28.8" x14ac:dyDescent="0.3">
      <c r="A17" s="42" t="s">
        <v>18</v>
      </c>
      <c r="B17" s="43"/>
      <c r="C17" s="33" t="s">
        <v>15</v>
      </c>
      <c r="D17" s="33" t="s">
        <v>15</v>
      </c>
      <c r="E17" s="33" t="s">
        <v>16</v>
      </c>
      <c r="F17" s="33" t="s">
        <v>17</v>
      </c>
      <c r="G17" s="46" t="s">
        <v>31</v>
      </c>
    </row>
    <row r="18" spans="1:7" x14ac:dyDescent="0.3">
      <c r="A18" s="42" t="s">
        <v>7</v>
      </c>
      <c r="B18" s="43"/>
      <c r="C18" s="6">
        <v>0</v>
      </c>
      <c r="D18" s="6">
        <v>0</v>
      </c>
      <c r="E18" s="6">
        <v>0</v>
      </c>
      <c r="F18" s="6">
        <v>0</v>
      </c>
      <c r="G18" s="7">
        <v>0</v>
      </c>
    </row>
    <row r="19" spans="1:7" x14ac:dyDescent="0.3">
      <c r="A19" s="39"/>
      <c r="B19" s="23"/>
      <c r="C19" s="47"/>
      <c r="D19" s="47"/>
      <c r="E19" s="47"/>
      <c r="F19" s="47"/>
      <c r="G19" s="48"/>
    </row>
    <row r="20" spans="1:7" x14ac:dyDescent="0.3">
      <c r="A20" s="42" t="s">
        <v>19</v>
      </c>
      <c r="B20" s="36"/>
      <c r="C20" s="49">
        <v>1</v>
      </c>
      <c r="D20" s="49">
        <v>1</v>
      </c>
      <c r="E20" s="49">
        <v>1</v>
      </c>
      <c r="F20" s="49">
        <v>1</v>
      </c>
      <c r="G20" s="50">
        <v>1</v>
      </c>
    </row>
    <row r="21" spans="1:7" x14ac:dyDescent="0.3">
      <c r="A21" s="39"/>
      <c r="B21" s="23"/>
      <c r="C21" s="44"/>
      <c r="D21" s="44"/>
      <c r="E21" s="44"/>
      <c r="F21" s="44"/>
      <c r="G21" s="45"/>
    </row>
    <row r="22" spans="1:7" x14ac:dyDescent="0.3">
      <c r="A22" s="42" t="s">
        <v>3</v>
      </c>
      <c r="B22" s="36"/>
      <c r="C22" s="37">
        <f>IF(C18=0,0,SUM(C14+C16)*C12)</f>
        <v>0</v>
      </c>
      <c r="D22" s="37">
        <f>IF(D18=0,0,SUM(D14+D16)*D12)</f>
        <v>0</v>
      </c>
      <c r="E22" s="37">
        <f>IF(E18=0,0,SUM(E14+E16)*E12)</f>
        <v>0</v>
      </c>
      <c r="F22" s="37">
        <f>IF(F18=0,0,SUM(F14+F16)*F12)</f>
        <v>0</v>
      </c>
      <c r="G22" s="38">
        <f>IF(G18=0,0,SUM(G14+G16)*G12)</f>
        <v>0</v>
      </c>
    </row>
    <row r="23" spans="1:7" x14ac:dyDescent="0.3">
      <c r="A23" s="26"/>
      <c r="B23" s="23"/>
      <c r="C23" s="23"/>
      <c r="D23" s="23"/>
      <c r="E23" s="23"/>
      <c r="F23" s="23"/>
      <c r="G23" s="24"/>
    </row>
    <row r="24" spans="1:7" ht="15" thickBot="1" x14ac:dyDescent="0.35">
      <c r="A24" s="51" t="s">
        <v>14</v>
      </c>
      <c r="B24" s="52">
        <f>SUM(B8,C22,D22,E22,F22,G22)</f>
        <v>71.635199999999998</v>
      </c>
      <c r="C24" s="53"/>
      <c r="D24" s="53"/>
      <c r="E24" s="53"/>
      <c r="F24" s="53"/>
      <c r="G24" s="54"/>
    </row>
  </sheetData>
  <sheetProtection algorithmName="SHA-512" hashValue="xEdhRRm0JfW5RyVBIJ+QN2nmmMn6AislAaqzxj93bZH7OWlmjPyWb3C2uRCRNnBesp/EMJ5Y5y4TW+S+Kl83FQ==" saltValue="jF7/9W1CMgcK78ivNsYXgQ==" spinCount="100000" sheet="1" objects="1" scenarios="1"/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34BC7A1-0251-4DB8-B0F2-9CDABA618714}">
          <x14:formula1>
            <xm:f>'Stock Info'!$B$1:$D$1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6ADF5-6375-4EC8-BF7A-6E4007554ADD}">
  <dimension ref="A1:D10"/>
  <sheetViews>
    <sheetView workbookViewId="0">
      <selection activeCell="D10" sqref="D10"/>
    </sheetView>
  </sheetViews>
  <sheetFormatPr defaultRowHeight="14.4" x14ac:dyDescent="0.3"/>
  <cols>
    <col min="1" max="1" width="24" bestFit="1" customWidth="1"/>
    <col min="2" max="2" width="8" bestFit="1" customWidth="1"/>
  </cols>
  <sheetData>
    <row r="1" spans="1:4" x14ac:dyDescent="0.3">
      <c r="A1" s="13"/>
      <c r="B1" s="14" t="s">
        <v>20</v>
      </c>
      <c r="C1" s="14" t="s">
        <v>21</v>
      </c>
      <c r="D1" s="15" t="s">
        <v>22</v>
      </c>
    </row>
    <row r="2" spans="1:4" x14ac:dyDescent="0.3">
      <c r="A2" s="3" t="s">
        <v>23</v>
      </c>
      <c r="B2" s="4">
        <v>3</v>
      </c>
      <c r="C2" s="4">
        <v>3</v>
      </c>
      <c r="D2" s="9">
        <v>3</v>
      </c>
    </row>
    <row r="3" spans="1:4" x14ac:dyDescent="0.3">
      <c r="A3" s="3" t="s">
        <v>24</v>
      </c>
      <c r="B3" s="4">
        <v>2.5</v>
      </c>
      <c r="C3" s="4">
        <v>2.33</v>
      </c>
      <c r="D3" s="9">
        <v>2.5089999999999999</v>
      </c>
    </row>
    <row r="4" spans="1:4" x14ac:dyDescent="0.3">
      <c r="A4" s="3" t="s">
        <v>25</v>
      </c>
      <c r="B4" s="4">
        <v>0.26</v>
      </c>
      <c r="C4" s="4">
        <v>0.17</v>
      </c>
      <c r="D4" s="9">
        <v>0.17</v>
      </c>
    </row>
    <row r="5" spans="1:4" x14ac:dyDescent="0.3">
      <c r="A5" s="3" t="s">
        <v>26</v>
      </c>
      <c r="B5" s="4">
        <v>0.15</v>
      </c>
      <c r="C5" s="4">
        <v>0.17</v>
      </c>
      <c r="D5" s="9">
        <v>0.34899999999999998</v>
      </c>
    </row>
    <row r="6" spans="1:4" x14ac:dyDescent="0.3">
      <c r="A6" s="3" t="s">
        <v>27</v>
      </c>
      <c r="B6" s="5">
        <v>38.72</v>
      </c>
      <c r="C6" s="5">
        <v>26.78</v>
      </c>
      <c r="D6" s="10">
        <v>39.36</v>
      </c>
    </row>
    <row r="7" spans="1:4" x14ac:dyDescent="0.3">
      <c r="A7" s="3" t="s">
        <v>28</v>
      </c>
      <c r="B7" s="4">
        <v>8.4</v>
      </c>
      <c r="C7" s="4">
        <v>8.4</v>
      </c>
      <c r="D7" s="9">
        <v>8.4</v>
      </c>
    </row>
    <row r="8" spans="1:4" x14ac:dyDescent="0.3">
      <c r="A8" s="3" t="s">
        <v>29</v>
      </c>
      <c r="B8" s="4">
        <f>2.03/12</f>
        <v>0.16916666666666666</v>
      </c>
      <c r="C8" s="4">
        <f>1.97/12</f>
        <v>0.16416666666666666</v>
      </c>
      <c r="D8" s="9">
        <f>2.6/12</f>
        <v>0.21666666666666667</v>
      </c>
    </row>
    <row r="9" spans="1:4" x14ac:dyDescent="0.3">
      <c r="A9" s="1"/>
      <c r="B9" s="8"/>
      <c r="C9" s="8"/>
      <c r="D9" s="2"/>
    </row>
    <row r="10" spans="1:4" ht="15" thickBot="1" x14ac:dyDescent="0.35">
      <c r="A10" s="11" t="s">
        <v>4</v>
      </c>
      <c r="B10" s="12">
        <f>SUM(B7*B8)*B6</f>
        <v>55.021120000000003</v>
      </c>
      <c r="C10" s="12">
        <f>SUM(C7*C8)*C6</f>
        <v>36.92962</v>
      </c>
      <c r="D10" s="12">
        <f>SUM(D7*D8)*D6</f>
        <v>71.635199999999998</v>
      </c>
    </row>
  </sheetData>
  <sheetProtection algorithmName="SHA-512" hashValue="E0+g54eC9Mn1w/t1teF9sG03vmmFes07VcUcAX4YMF5KSJtEFB8oSMwRMGwZsFiDUmBdY956wbkqxm8X8GKWnA==" saltValue="SYSSGk8gtn160mmM+uzC2A==" spinCount="100000" sheet="1" objects="1" scenarios="1"/>
  <hyperlinks>
    <hyperlink ref="B1" r:id="rId1" xr:uid="{96487E2A-43CF-408E-8BB6-3D35CB06DE0D}"/>
    <hyperlink ref="C1" r:id="rId2" xr:uid="{28805A5E-DA89-4065-AC58-BF6EDABD0F27}"/>
    <hyperlink ref="D1" r:id="rId3" xr:uid="{A00EA924-5C8E-447A-A4D5-990E8CAC82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Machining Cost</vt:lpstr>
      <vt:lpstr>Stock Info</vt:lpstr>
    </vt:vector>
  </TitlesOfParts>
  <Company>Midlands Technical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O. Shannon</dc:creator>
  <cp:lastModifiedBy>Gross, Andrew</cp:lastModifiedBy>
  <dcterms:created xsi:type="dcterms:W3CDTF">2024-08-13T11:38:29Z</dcterms:created>
  <dcterms:modified xsi:type="dcterms:W3CDTF">2026-09-12T08:20:41Z</dcterms:modified>
</cp:coreProperties>
</file>